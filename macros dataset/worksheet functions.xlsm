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 defaultThemeVersion="123820"/>
  <bookViews>
    <workbookView xWindow="-45" yWindow="-45" windowWidth="16020" windowHeight="12030"/>
  </bookViews>
  <sheets>
    <sheet name="Sheet1" sheetId="1" r:id="rId1"/>
    <sheet name="Sheet2" sheetId="2" r:id="rId2"/>
    <sheet name="Sheet3" sheetId="3" r:id="rId3"/>
  </sheets>
  <functionGroups/>
  <calcPr calcId="124519"/>
  <webPublishing codePage="1252"/>
</workbook>
</file>

<file path=xl/calcChain.xml><?xml version="1.0" encoding="utf-8"?>
<calcChain xmlns="http://schemas.openxmlformats.org/spreadsheetml/2006/main">
  <c r="D15" i="1"/>
  <c r="B39" a="1"/>
  <c r="B34"/>
  <c r="B30"/>
  <c r="B28"/>
  <c r="B10"/>
  <c r="B43" a="1"/>
  <c r="B33"/>
  <c r="B29"/>
  <c r="B2"/>
  <c r="B9"/>
  <c r="B35"/>
  <c r="B12"/>
  <c r="B36"/>
  <c r="B32"/>
  <c r="B4"/>
  <c r="B3"/>
  <c r="B11"/>
  <c r="B31"/>
  <c r="C12"/>
  <c r="B8"/>
  <c r="B38"/>
  <c r="B37"/>
  <c r="B7"/>
  <c r="B13"/>
  <c r="B14"/>
  <c r="B15"/>
  <c r="B5"/>
  <c r="B43" l="1"/>
  <c r="B44"/>
  <c r="B45"/>
  <c r="B46"/>
  <c r="B47"/>
  <c r="B39"/>
  <c r="B40"/>
  <c r="B41"/>
  <c r="B42"/>
  <c r="B6"/>
</calcChain>
</file>

<file path=xl/sharedStrings.xml><?xml version="1.0" encoding="utf-8"?>
<sst xmlns="http://schemas.openxmlformats.org/spreadsheetml/2006/main" count="23" uniqueCount="23">
  <si>
    <t>This workbook contains a number of useful worksheet functions:</t>
  </si>
  <si>
    <t>SheetName</t>
  </si>
  <si>
    <t>WorkbookName</t>
  </si>
  <si>
    <t>AppName</t>
  </si>
  <si>
    <t>CountBetween</t>
  </si>
  <si>
    <t>LastInColumn</t>
  </si>
  <si>
    <t>LastInRow</t>
  </si>
  <si>
    <t>IsLike</t>
  </si>
  <si>
    <t>CountVisible</t>
  </si>
  <si>
    <t>IsBold</t>
  </si>
  <si>
    <t>IsItalic</t>
  </si>
  <si>
    <r>
      <t>All</t>
    </r>
    <r>
      <rPr>
        <i/>
        <sz val="11"/>
        <color theme="1"/>
        <rFont val="Calibri"/>
        <family val="2"/>
        <scheme val="minor"/>
      </rPr>
      <t>B</t>
    </r>
    <r>
      <rPr>
        <b/>
        <i/>
        <sz val="11"/>
        <color theme="1"/>
        <rFont val="Calibri"/>
        <family val="2"/>
        <scheme val="minor"/>
      </rPr>
      <t>old</t>
    </r>
  </si>
  <si>
    <t>FillColor</t>
  </si>
  <si>
    <t>LastSaved</t>
  </si>
  <si>
    <t>LastPrinted</t>
  </si>
  <si>
    <t>ExtractElement</t>
  </si>
  <si>
    <t>ExtractElement2</t>
  </si>
  <si>
    <t>StatFunction</t>
  </si>
  <si>
    <t>SheetOffset</t>
  </si>
  <si>
    <t>MaxAllSheets</t>
  </si>
  <si>
    <t>RandomIntegers</t>
  </si>
  <si>
    <t>RangeRandomize</t>
  </si>
  <si>
    <t>SayIt</t>
  </si>
</sst>
</file>

<file path=xl/styles.xml><?xml version="1.0" encoding="utf-8"?>
<styleSheet xmlns="http://schemas.openxmlformats.org/spreadsheetml/2006/main">
  <numFmts count="1">
    <numFmt numFmtId="164" formatCode="m/d/yyyy\ hh:mm:ss"/>
  </numFmts>
  <fonts count="6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Font="1"/>
    <xf numFmtId="0" fontId="1" fillId="0" borderId="0" xfId="0" applyFont="1" applyAlignment="1">
      <alignment vertical="top"/>
    </xf>
    <xf numFmtId="0" fontId="2" fillId="0" borderId="0" xfId="0" applyFont="1" applyAlignment="1">
      <alignment horizontal="left" indent="1"/>
    </xf>
    <xf numFmtId="164" fontId="0" fillId="0" borderId="0" xfId="0" applyNumberFormat="1"/>
    <xf numFmtId="0" fontId="2" fillId="2" borderId="0" xfId="0" applyFont="1" applyFill="1" applyAlignment="1">
      <alignment horizontal="left" indent="1"/>
    </xf>
    <xf numFmtId="0" fontId="3" fillId="0" borderId="0" xfId="0" applyNumberFormat="1" applyFont="1" applyAlignment="1"/>
    <xf numFmtId="0" fontId="0" fillId="0" borderId="0" xfId="0" applyNumberFormat="1" applyFont="1" applyAlignme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47"/>
  <sheetViews>
    <sheetView tabSelected="1" workbookViewId="0"/>
  </sheetViews>
  <sheetFormatPr defaultRowHeight="15"/>
  <cols>
    <col min="1" max="1" width="18.5703125" customWidth="1"/>
    <col min="2" max="2" width="20" customWidth="1"/>
  </cols>
  <sheetData>
    <row r="1" spans="1:4" ht="24" customHeight="1">
      <c r="A1" s="2" t="s">
        <v>0</v>
      </c>
    </row>
    <row r="2" spans="1:4">
      <c r="A2" s="3" t="s">
        <v>9</v>
      </c>
      <c r="B2" t="b">
        <f>isbold(A2)</f>
        <v>1</v>
      </c>
    </row>
    <row r="3" spans="1:4">
      <c r="A3" s="3" t="s">
        <v>10</v>
      </c>
      <c r="B3" t="b">
        <f>isitalic(A3)</f>
        <v>1</v>
      </c>
    </row>
    <row r="4" spans="1:4">
      <c r="A4" s="3" t="s">
        <v>11</v>
      </c>
      <c r="B4" t="b">
        <f>Allbold(A4)</f>
        <v>0</v>
      </c>
    </row>
    <row r="5" spans="1:4">
      <c r="A5" s="5" t="s">
        <v>12</v>
      </c>
      <c r="B5">
        <f ca="1">fillcolor(A5)</f>
        <v>42</v>
      </c>
    </row>
    <row r="6" spans="1:4">
      <c r="A6" s="3" t="s">
        <v>22</v>
      </c>
      <c r="B6" t="str">
        <f>sayit(B11)</f>
        <v>Microsoft Excel</v>
      </c>
    </row>
    <row r="7" spans="1:4">
      <c r="A7" s="3" t="s">
        <v>13</v>
      </c>
      <c r="B7" s="4">
        <f ca="1">lastsaved()</f>
        <v>39077.73096064815</v>
      </c>
    </row>
    <row r="8" spans="1:4">
      <c r="A8" s="3" t="s">
        <v>14</v>
      </c>
      <c r="B8" s="4">
        <f ca="1">lastprinted()</f>
        <v>38953.518912037034</v>
      </c>
    </row>
    <row r="9" spans="1:4">
      <c r="A9" s="3" t="s">
        <v>1</v>
      </c>
      <c r="B9" t="str">
        <f>sheetname(A1)</f>
        <v>Sheet1</v>
      </c>
    </row>
    <row r="10" spans="1:4">
      <c r="A10" s="3" t="s">
        <v>2</v>
      </c>
      <c r="B10" t="str">
        <f>workbookname(A1)</f>
        <v>worksheet functions.xlsm</v>
      </c>
    </row>
    <row r="11" spans="1:4">
      <c r="A11" s="3" t="s">
        <v>3</v>
      </c>
      <c r="B11" t="str">
        <f>appname(A1)</f>
        <v>Microsoft Excel</v>
      </c>
    </row>
    <row r="12" spans="1:4">
      <c r="A12" s="3" t="s">
        <v>4</v>
      </c>
      <c r="B12">
        <f>countbetween(A17:A27,2,5)</f>
        <v>3</v>
      </c>
      <c r="C12">
        <f>countbetween(A17:A27,5,2)</f>
        <v>3</v>
      </c>
    </row>
    <row r="13" spans="1:4">
      <c r="A13" s="3" t="s">
        <v>5</v>
      </c>
      <c r="B13" t="str">
        <f ca="1">lastincolumn(A1)</f>
        <v>RangeRandomize</v>
      </c>
    </row>
    <row r="14" spans="1:4">
      <c r="A14" s="3" t="s">
        <v>6</v>
      </c>
      <c r="B14">
        <f ca="1">lastinrow(A17)</f>
        <v>101</v>
      </c>
    </row>
    <row r="15" spans="1:4">
      <c r="A15" s="3" t="s">
        <v>8</v>
      </c>
      <c r="B15">
        <f ca="1">countvisible(A17:B27)</f>
        <v>8</v>
      </c>
      <c r="D15">
        <f>SUBTOTAL(103,A17:A27)</f>
        <v>8</v>
      </c>
    </row>
    <row r="16" spans="1:4">
      <c r="A16" s="1"/>
    </row>
    <row r="17" spans="1:2">
      <c r="A17">
        <v>101</v>
      </c>
    </row>
    <row r="18" spans="1:2">
      <c r="A18">
        <v>103</v>
      </c>
    </row>
    <row r="19" spans="1:2">
      <c r="A19">
        <v>102</v>
      </c>
    </row>
    <row r="20" spans="1:2" hidden="1">
      <c r="A20">
        <v>4</v>
      </c>
    </row>
    <row r="21" spans="1:2" hidden="1">
      <c r="A21">
        <v>3</v>
      </c>
    </row>
    <row r="22" spans="1:2" hidden="1">
      <c r="A22">
        <v>2</v>
      </c>
    </row>
    <row r="23" spans="1:2">
      <c r="A23">
        <v>105</v>
      </c>
    </row>
    <row r="24" spans="1:2">
      <c r="A24">
        <v>106</v>
      </c>
    </row>
    <row r="25" spans="1:2">
      <c r="A25">
        <v>101</v>
      </c>
    </row>
    <row r="26" spans="1:2">
      <c r="A26">
        <v>112</v>
      </c>
    </row>
    <row r="27" spans="1:2">
      <c r="A27">
        <v>101</v>
      </c>
    </row>
    <row r="28" spans="1:2">
      <c r="A28" s="3" t="s">
        <v>7</v>
      </c>
      <c r="B28" t="b">
        <f>ISLIKE(A1,"*workbook*")</f>
        <v>1</v>
      </c>
    </row>
    <row r="29" spans="1:2">
      <c r="A29" s="3" t="s">
        <v>15</v>
      </c>
      <c r="B29" t="str">
        <f>extractelement("123-456-789",2,"-")</f>
        <v>456</v>
      </c>
    </row>
    <row r="30" spans="1:2">
      <c r="A30" s="3" t="s">
        <v>16</v>
      </c>
      <c r="B30" t="str">
        <f>extractelement2("123-456-789",2,"-")</f>
        <v>456</v>
      </c>
    </row>
    <row r="31" spans="1:2">
      <c r="A31" s="3" t="s">
        <v>17</v>
      </c>
      <c r="B31">
        <f>statfunction($A$32:$A$36,"sum")</f>
        <v>26</v>
      </c>
    </row>
    <row r="32" spans="1:2">
      <c r="A32" s="6">
        <v>5</v>
      </c>
      <c r="B32">
        <f>statfunction($A$32:$A$36,"average")</f>
        <v>5.2</v>
      </c>
    </row>
    <row r="33" spans="1:2">
      <c r="A33" s="6">
        <v>4</v>
      </c>
      <c r="B33">
        <f>statfunction($A$32:$A$36,"median")</f>
        <v>4</v>
      </c>
    </row>
    <row r="34" spans="1:2">
      <c r="A34" s="7">
        <v>11</v>
      </c>
      <c r="B34">
        <f>statfunction($A$32:$A$36,"max")</f>
        <v>11</v>
      </c>
    </row>
    <row r="35" spans="1:2">
      <c r="A35" s="6">
        <v>3</v>
      </c>
      <c r="B35">
        <f>statfunction($A$32:$A$36,"min")</f>
        <v>3</v>
      </c>
    </row>
    <row r="36" spans="1:2">
      <c r="A36" s="6">
        <v>3</v>
      </c>
      <c r="B36">
        <f>statfunction($A$32:$A$36,"stdev")</f>
        <v>3.3466401061363027</v>
      </c>
    </row>
    <row r="37" spans="1:2">
      <c r="A37" s="3" t="s">
        <v>18</v>
      </c>
      <c r="B37">
        <f ca="1">SHEETOFFSET(2,A1)</f>
        <v>246</v>
      </c>
    </row>
    <row r="38" spans="1:2">
      <c r="A38" s="3" t="s">
        <v>19</v>
      </c>
      <c r="B38">
        <f ca="1">MAXALLSHEETS((A1))</f>
        <v>246</v>
      </c>
    </row>
    <row r="39" spans="1:2">
      <c r="A39" s="3" t="s">
        <v>20</v>
      </c>
      <c r="B39">
        <f t="array" ref="B39:B42">randomintegers()</f>
        <v>3</v>
      </c>
    </row>
    <row r="40" spans="1:2">
      <c r="A40" s="3"/>
      <c r="B40">
        <v>2</v>
      </c>
    </row>
    <row r="41" spans="1:2">
      <c r="A41" s="3"/>
      <c r="B41">
        <v>4</v>
      </c>
    </row>
    <row r="42" spans="1:2">
      <c r="A42" s="3"/>
      <c r="B42">
        <v>1</v>
      </c>
    </row>
    <row r="43" spans="1:2">
      <c r="A43" s="3" t="s">
        <v>21</v>
      </c>
      <c r="B43">
        <f t="array" ref="B43:B47">rangerandomize(A32:A36)</f>
        <v>3</v>
      </c>
    </row>
    <row r="44" spans="1:2">
      <c r="B44">
        <v>4</v>
      </c>
    </row>
    <row r="45" spans="1:2">
      <c r="B45">
        <v>11</v>
      </c>
    </row>
    <row r="46" spans="1:2">
      <c r="B46">
        <v>3</v>
      </c>
    </row>
    <row r="47" spans="1:2">
      <c r="B47">
        <v>5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>
    <row r="1" spans="1:1">
      <c r="A1">
        <v>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>
    <row r="1" spans="1:1">
      <c r="A1">
        <v>246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worksheet functions.xlsm</dc:title>
  <dc:subject>Excel 2007 Power Progamming With VBA</dc:subject>
  <dc:creator>John Walkenbach</dc:creator>
  <cp:keywords>©2007, JWalk &amp; Associates, Inc.</cp:keywords>
  <dc:description>Example file distributed with 'Excel 2007 Power Programming With VBA'</dc:description>
  <cp:lastModifiedBy>John Walkenbach</cp:lastModifiedBy>
  <cp:lastPrinted>2006-08-24T19:27:14Z</cp:lastPrinted>
  <dcterms:created xsi:type="dcterms:W3CDTF">1999-01-25T22:05:42Z</dcterms:created>
  <dcterms:modified xsi:type="dcterms:W3CDTF">2007-01-08T22:31:24Z</dcterms:modified>
  <cp:category>http://www.j-walk.com/ss</cp:category>
</cp:coreProperties>
</file>